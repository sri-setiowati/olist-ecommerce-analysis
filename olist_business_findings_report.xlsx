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ndings summary" sheetId="1" state="visible" r:id="rId3"/>
    <sheet name="Delivery delays" sheetId="2" state="visible" r:id="rId4"/>
    <sheet name="Freight cos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<sst xmlns="http://schemas.openxmlformats.org/spreadsheetml/2006/main" count="54" uniqueCount="44">
  <si>
    <t xml:space="preserve">Olist e-commerce data analysis: business findings summary</t>
  </si>
  <si>
    <t xml:space="preserve">Data source</t>
  </si>
  <si>
    <t xml:space="preserve">Olist Brazilian E-commerce Public Dataset (Kaggle). Figures calculated from olist_orders_dataset.csv, olist_customers_dataset.csv, and olist_order_items_dataset.csv using Python (pandas), August 2026.</t>
  </si>
  <si>
    <t xml:space="preserve">Finding 1: Delivery delays concentrate in a handful of states</t>
  </si>
  <si>
    <t xml:space="preserve">Problem</t>
  </si>
  <si>
    <t xml:space="preserve">Are late deliveries spread evenly across Brazil, or concentrated in specific states that need targeted logistics attention?</t>
  </si>
  <si>
    <t xml:space="preserve">Approach</t>
  </si>
  <si>
    <t xml:space="preserve">Calculated the gap between actual and estimated delivery dates for every delivered order (96,478 total), then grouped the delay rate by the customer's state. See the 'Delivery delays' sheet for the full breakdown.</t>
  </si>
  <si>
    <t xml:space="preserve">Insight</t>
  </si>
  <si>
    <t xml:space="preserve">The national late-delivery rate is 6.8%. Five states, Alagoas, Maranhao, Sergipe, Piaui, and Ceara, run two to three times above that average. Alagoas is highest at 21.4%. Orders that do arrive late are 10.6 days behind on average.</t>
  </si>
  <si>
    <t xml:space="preserve">Recommendation</t>
  </si>
  <si>
    <t xml:space="preserve">Start with these five states when reviewing logistics partners and delivery routes, and send customers there a proactive notice when an estimate is at risk. That should cut complaints and the churn that follows a late delivery.</t>
  </si>
  <si>
    <t xml:space="preserve">Finding 2: Freight costs fall unevenly across states</t>
  </si>
  <si>
    <t xml:space="preserve">Is freight cost proportional to item price everywhere, or do some states carry a heavier freight burden that hurts price competitiveness and margin?</t>
  </si>
  <si>
    <t xml:space="preserve">Calculated the ratio of total freight value to total item price by customer state, across all 112,650 order items, then compared it to the national average. See the 'Freight costs' sheet for the full breakdown.</t>
  </si>
  <si>
    <t xml:space="preserve">Freight runs 16.6% of item price nationally. In Maranhao, Rondonia, and Piaui, that ratio climbs to 24-26%, nearly double the 13.8% seen in Sao Paulo, the largest market with 47,449 items.</t>
  </si>
  <si>
    <t xml:space="preserve">Look at regional distribution hubs or renegotiated carrier rates for the states with the highest freight burden, so prices stay competitive there without cutting into margin.</t>
  </si>
  <si>
    <t xml:space="preserve">Note</t>
  </si>
  <si>
    <t xml:space="preserve">Order and item counts in the data sheets come from a Python (pandas) aggregation, shown in blue. Percentages are calculated in Excel with formulas, so they can be checked and recalculated.</t>
  </si>
  <si>
    <t xml:space="preserve">Delivery delay rate by state (200+ orders)</t>
  </si>
  <si>
    <t xml:space="preserve">State</t>
  </si>
  <si>
    <t xml:space="preserve">Total orders</t>
  </si>
  <si>
    <t xml:space="preserve">Late orders</t>
  </si>
  <si>
    <t xml:space="preserve">% late</t>
  </si>
  <si>
    <t xml:space="preserve">NATIONAL</t>
  </si>
  <si>
    <t xml:space="preserve">AL</t>
  </si>
  <si>
    <t xml:space="preserve">MA</t>
  </si>
  <si>
    <t xml:space="preserve">SE</t>
  </si>
  <si>
    <t xml:space="preserve">PI</t>
  </si>
  <si>
    <t xml:space="preserve">CE</t>
  </si>
  <si>
    <t xml:space="preserve">BA</t>
  </si>
  <si>
    <t xml:space="preserve">Blue: aggregated from raw data in Python. Black: Excel formula, can be recalculated.</t>
  </si>
  <si>
    <t xml:space="preserve">Freight cost ratio by state (200+ items)</t>
  </si>
  <si>
    <t xml:space="preserve">Items</t>
  </si>
  <si>
    <t xml:space="preserve">Total price (R$)</t>
  </si>
  <si>
    <t xml:space="preserve">Total freight (R$)</t>
  </si>
  <si>
    <t xml:space="preserve">Freight % of price</t>
  </si>
  <si>
    <t xml:space="preserve">RO</t>
  </si>
  <si>
    <t xml:space="preserve">TO</t>
  </si>
  <si>
    <t xml:space="preserve">RN</t>
  </si>
  <si>
    <t xml:space="preserve">DF</t>
  </si>
  <si>
    <t xml:space="preserve">MS</t>
  </si>
  <si>
    <t xml:space="preserve">SP</t>
  </si>
  <si>
    <t xml:space="preserve">Top rows: the six states with the highest freight burden. Bottom rows (DF, MS, SP): lowest-burden states, shown for comparison.</t>
  </si>
</sst>
</file>

<file path=xl/styles.xml><?xml version="1.0" encoding="utf-8"?>
<styleSheet xmlns="http://schemas.openxmlformats.org/spreadsheetml/2006/main">
  <numFmts count="3">
    <numFmt numFmtId="164" formatCode="General"/>
    <numFmt numFmtId="165" formatCode="0.0%"/>
    <numFmt numFmtId="166" formatCode="#,##0.0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b val="true"/>
      <sz val="12"/>
      <color rgb="FF1F3864"/>
      <name val="Arial"/>
      <family val="0"/>
      <charset val="1"/>
    </font>
    <font>
      <b val="true"/>
      <sz val="10"/>
      <color rgb="FFFFFFFF"/>
      <name val="Arial"/>
      <family val="0"/>
      <charset val="1"/>
    </font>
    <font>
      <sz val="10"/>
      <color rgb="FF0000FF"/>
      <name val="Arial"/>
      <family val="0"/>
      <charset val="1"/>
    </font>
    <font>
      <i val="true"/>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2F3"/>
        <bgColor rgb="FFCC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5" fontId="6" fillId="3"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82"/>
  </cols>
  <sheetData>
    <row r="2" customFormat="false" ht="25.5" hidden="false" customHeight="true" outlineLevel="0" collapsed="false">
      <c r="B2" s="1" t="s">
        <v>0</v>
      </c>
      <c r="C2" s="1"/>
    </row>
    <row r="4" customFormat="false" ht="30" hidden="false" customHeight="true" outlineLevel="0" collapsed="false">
      <c r="B4" s="2" t="s">
        <v>1</v>
      </c>
      <c r="C4" s="3" t="s">
        <v>2</v>
      </c>
    </row>
    <row r="6" customFormat="false" ht="15" hidden="false" customHeight="false" outlineLevel="0" collapsed="false">
      <c r="B6" s="4" t="s">
        <v>3</v>
      </c>
      <c r="C6" s="4"/>
    </row>
    <row r="8" customFormat="false" ht="39.75" hidden="false" customHeight="true" outlineLevel="0" collapsed="false">
      <c r="B8" s="2" t="s">
        <v>4</v>
      </c>
      <c r="C8" s="3" t="s">
        <v>5</v>
      </c>
    </row>
    <row r="9" customFormat="false" ht="54.75" hidden="false" customHeight="true" outlineLevel="0" collapsed="false">
      <c r="B9" s="2" t="s">
        <v>6</v>
      </c>
      <c r="C9" s="3" t="s">
        <v>7</v>
      </c>
    </row>
    <row r="10" customFormat="false" ht="54.75" hidden="false" customHeight="true" outlineLevel="0" collapsed="false">
      <c r="B10" s="2" t="s">
        <v>8</v>
      </c>
      <c r="C10" s="3" t="s">
        <v>9</v>
      </c>
    </row>
    <row r="11" customFormat="false" ht="54.75" hidden="false" customHeight="true" outlineLevel="0" collapsed="false">
      <c r="B11" s="2" t="s">
        <v>10</v>
      </c>
      <c r="C11" s="3" t="s">
        <v>11</v>
      </c>
    </row>
    <row r="13" customFormat="false" ht="15" hidden="false" customHeight="false" outlineLevel="0" collapsed="false">
      <c r="B13" s="4" t="s">
        <v>12</v>
      </c>
      <c r="C13" s="4"/>
    </row>
    <row r="15" customFormat="false" ht="39.75" hidden="false" customHeight="true" outlineLevel="0" collapsed="false">
      <c r="B15" s="2" t="s">
        <v>4</v>
      </c>
      <c r="C15" s="3" t="s">
        <v>13</v>
      </c>
    </row>
    <row r="16" customFormat="false" ht="54.75" hidden="false" customHeight="true" outlineLevel="0" collapsed="false">
      <c r="B16" s="2" t="s">
        <v>6</v>
      </c>
      <c r="C16" s="3" t="s">
        <v>14</v>
      </c>
    </row>
    <row r="17" customFormat="false" ht="54.75" hidden="false" customHeight="true" outlineLevel="0" collapsed="false">
      <c r="B17" s="2" t="s">
        <v>8</v>
      </c>
      <c r="C17" s="3" t="s">
        <v>15</v>
      </c>
    </row>
    <row r="18" customFormat="false" ht="54.75" hidden="false" customHeight="true" outlineLevel="0" collapsed="false">
      <c r="B18" s="2" t="s">
        <v>10</v>
      </c>
      <c r="C18" s="3" t="s">
        <v>16</v>
      </c>
    </row>
    <row r="21" customFormat="false" ht="39.75" hidden="false" customHeight="true" outlineLevel="0" collapsed="false">
      <c r="B21" s="2" t="s">
        <v>17</v>
      </c>
      <c r="C21" s="3" t="s">
        <v>18</v>
      </c>
    </row>
  </sheetData>
  <mergeCells count="3">
    <mergeCell ref="B2:C2"/>
    <mergeCell ref="B6:C6"/>
    <mergeCell ref="B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4" min="2" style="0" width="16"/>
    <col collapsed="false" customWidth="true" hidden="false" outlineLevel="0" max="5" min="5" style="0" width="14"/>
  </cols>
  <sheetData>
    <row r="2" customFormat="false" ht="21.75" hidden="false" customHeight="true" outlineLevel="0" collapsed="false">
      <c r="B2" s="1" t="s">
        <v>19</v>
      </c>
      <c r="C2" s="1"/>
      <c r="D2" s="1"/>
      <c r="E2" s="1"/>
    </row>
    <row r="4" customFormat="false" ht="15" hidden="false" customHeight="false" outlineLevel="0" collapsed="false">
      <c r="B4" s="5" t="s">
        <v>20</v>
      </c>
      <c r="C4" s="5" t="s">
        <v>21</v>
      </c>
      <c r="D4" s="5" t="s">
        <v>22</v>
      </c>
      <c r="E4" s="5" t="s">
        <v>23</v>
      </c>
    </row>
    <row r="5" customFormat="false" ht="15" hidden="false" customHeight="false" outlineLevel="0" collapsed="false">
      <c r="B5" s="6" t="s">
        <v>24</v>
      </c>
      <c r="C5" s="7" t="n">
        <v>96478</v>
      </c>
      <c r="D5" s="7" t="n">
        <v>6534</v>
      </c>
      <c r="E5" s="8" t="n">
        <f aca="false">D5/C5</f>
        <v>0.0677252845208234</v>
      </c>
    </row>
    <row r="6" customFormat="false" ht="15" hidden="false" customHeight="false" outlineLevel="0" collapsed="false">
      <c r="B6" s="9" t="s">
        <v>25</v>
      </c>
      <c r="C6" s="10" t="n">
        <v>397</v>
      </c>
      <c r="D6" s="10" t="n">
        <v>85</v>
      </c>
      <c r="E6" s="11" t="n">
        <f aca="false">D6/C6</f>
        <v>0.214105793450882</v>
      </c>
    </row>
    <row r="7" customFormat="false" ht="15" hidden="false" customHeight="false" outlineLevel="0" collapsed="false">
      <c r="B7" s="9" t="s">
        <v>26</v>
      </c>
      <c r="C7" s="10" t="n">
        <v>717</v>
      </c>
      <c r="D7" s="10" t="n">
        <v>125</v>
      </c>
      <c r="E7" s="11" t="n">
        <f aca="false">D7/C7</f>
        <v>0.174337517433752</v>
      </c>
    </row>
    <row r="8" customFormat="false" ht="15" hidden="false" customHeight="false" outlineLevel="0" collapsed="false">
      <c r="B8" s="9" t="s">
        <v>27</v>
      </c>
      <c r="C8" s="10" t="n">
        <v>335</v>
      </c>
      <c r="D8" s="10" t="n">
        <v>51</v>
      </c>
      <c r="E8" s="11" t="n">
        <f aca="false">D8/C8</f>
        <v>0.152238805970149</v>
      </c>
    </row>
    <row r="9" customFormat="false" ht="15" hidden="false" customHeight="false" outlineLevel="0" collapsed="false">
      <c r="B9" s="9" t="s">
        <v>28</v>
      </c>
      <c r="C9" s="10" t="n">
        <v>476</v>
      </c>
      <c r="D9" s="10" t="n">
        <v>66</v>
      </c>
      <c r="E9" s="11" t="n">
        <f aca="false">D9/C9</f>
        <v>0.138655462184874</v>
      </c>
    </row>
    <row r="10" customFormat="false" ht="15" hidden="false" customHeight="false" outlineLevel="0" collapsed="false">
      <c r="B10" s="9" t="s">
        <v>29</v>
      </c>
      <c r="C10" s="10" t="n">
        <v>1279</v>
      </c>
      <c r="D10" s="10" t="n">
        <v>176</v>
      </c>
      <c r="E10" s="11" t="n">
        <f aca="false">D10/C10</f>
        <v>0.137607505863956</v>
      </c>
    </row>
    <row r="11" customFormat="false" ht="15" hidden="false" customHeight="false" outlineLevel="0" collapsed="false">
      <c r="B11" s="9" t="s">
        <v>30</v>
      </c>
      <c r="C11" s="10" t="n">
        <v>3256</v>
      </c>
      <c r="D11" s="10" t="n">
        <v>396</v>
      </c>
      <c r="E11" s="11" t="n">
        <f aca="false">D11/C11</f>
        <v>0.121621621621622</v>
      </c>
    </row>
    <row r="13" customFormat="false" ht="15" hidden="false" customHeight="false" outlineLevel="0" collapsed="false">
      <c r="B13" s="12" t="s">
        <v>31</v>
      </c>
    </row>
  </sheetData>
  <mergeCells count="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14"/>
    <col collapsed="false" customWidth="true" hidden="false" outlineLevel="0" max="5" min="4" style="0" width="18"/>
    <col collapsed="false" customWidth="true" hidden="false" outlineLevel="0" max="6" min="6" style="0" width="16"/>
  </cols>
  <sheetData>
    <row r="2" customFormat="false" ht="21.75" hidden="false" customHeight="true" outlineLevel="0" collapsed="false">
      <c r="B2" s="1" t="s">
        <v>32</v>
      </c>
      <c r="C2" s="1"/>
      <c r="D2" s="1"/>
      <c r="E2" s="1"/>
      <c r="F2" s="1"/>
    </row>
    <row r="4" customFormat="false" ht="15" hidden="false" customHeight="false" outlineLevel="0" collapsed="false">
      <c r="B4" s="5" t="s">
        <v>20</v>
      </c>
      <c r="C4" s="5" t="s">
        <v>33</v>
      </c>
      <c r="D4" s="5" t="s">
        <v>34</v>
      </c>
      <c r="E4" s="5" t="s">
        <v>35</v>
      </c>
      <c r="F4" s="5" t="s">
        <v>36</v>
      </c>
    </row>
    <row r="5" customFormat="false" ht="15" hidden="false" customHeight="false" outlineLevel="0" collapsed="false">
      <c r="B5" s="6" t="s">
        <v>24</v>
      </c>
      <c r="C5" s="7" t="n">
        <v>112650</v>
      </c>
      <c r="D5" s="13" t="n">
        <v>13591643.7</v>
      </c>
      <c r="E5" s="13" t="n">
        <v>2251909.54</v>
      </c>
      <c r="F5" s="8" t="n">
        <f aca="false">E5/D5</f>
        <v>0.165683385299454</v>
      </c>
    </row>
    <row r="6" customFormat="false" ht="15" hidden="false" customHeight="false" outlineLevel="0" collapsed="false">
      <c r="B6" s="9" t="s">
        <v>26</v>
      </c>
      <c r="C6" s="10" t="n">
        <v>824</v>
      </c>
      <c r="D6" s="14" t="n">
        <v>119648.22</v>
      </c>
      <c r="E6" s="14" t="n">
        <v>31523.77</v>
      </c>
      <c r="F6" s="11" t="n">
        <f aca="false">E6/D6</f>
        <v>0.263470446948563</v>
      </c>
    </row>
    <row r="7" customFormat="false" ht="15" hidden="false" customHeight="false" outlineLevel="0" collapsed="false">
      <c r="B7" s="9" t="s">
        <v>37</v>
      </c>
      <c r="C7" s="10" t="n">
        <v>278</v>
      </c>
      <c r="D7" s="14" t="n">
        <v>46140.64</v>
      </c>
      <c r="E7" s="14" t="n">
        <v>11417.38</v>
      </c>
      <c r="F7" s="11" t="n">
        <f aca="false">E7/D7</f>
        <v>0.247447369607357</v>
      </c>
    </row>
    <row r="8" customFormat="false" ht="15" hidden="false" customHeight="false" outlineLevel="0" collapsed="false">
      <c r="B8" s="9" t="s">
        <v>28</v>
      </c>
      <c r="C8" s="10" t="n">
        <v>542</v>
      </c>
      <c r="D8" s="14" t="n">
        <v>86914.08</v>
      </c>
      <c r="E8" s="14" t="n">
        <v>21218.2</v>
      </c>
      <c r="F8" s="11" t="n">
        <f aca="false">E8/D8</f>
        <v>0.244128454215934</v>
      </c>
    </row>
    <row r="9" customFormat="false" ht="15" hidden="false" customHeight="false" outlineLevel="0" collapsed="false">
      <c r="B9" s="9" t="s">
        <v>27</v>
      </c>
      <c r="C9" s="10" t="n">
        <v>385</v>
      </c>
      <c r="D9" s="14" t="n">
        <v>58920.85</v>
      </c>
      <c r="E9" s="14" t="n">
        <v>14111.47</v>
      </c>
      <c r="F9" s="11" t="n">
        <f aca="false">E9/D9</f>
        <v>0.239498751290927</v>
      </c>
    </row>
    <row r="10" customFormat="false" ht="15" hidden="false" customHeight="false" outlineLevel="0" collapsed="false">
      <c r="B10" s="9" t="s">
        <v>38</v>
      </c>
      <c r="C10" s="10" t="n">
        <v>315</v>
      </c>
      <c r="D10" s="14" t="n">
        <v>49621.74</v>
      </c>
      <c r="E10" s="14" t="n">
        <v>11732.68</v>
      </c>
      <c r="F10" s="11" t="n">
        <f aca="false">E10/D10</f>
        <v>0.23644233354171</v>
      </c>
    </row>
    <row r="11" customFormat="false" ht="15" hidden="false" customHeight="false" outlineLevel="0" collapsed="false">
      <c r="B11" s="9" t="s">
        <v>39</v>
      </c>
      <c r="C11" s="10" t="n">
        <v>529</v>
      </c>
      <c r="D11" s="14" t="n">
        <v>83034.98</v>
      </c>
      <c r="E11" s="14" t="n">
        <v>18860.1</v>
      </c>
      <c r="F11" s="11" t="n">
        <f aca="false">E11/D11</f>
        <v>0.227134395648677</v>
      </c>
    </row>
    <row r="12" customFormat="false" ht="15" hidden="false" customHeight="false" outlineLevel="0" collapsed="false">
      <c r="B12" s="9" t="s">
        <v>40</v>
      </c>
      <c r="C12" s="10" t="n">
        <v>2406</v>
      </c>
      <c r="D12" s="14" t="n">
        <v>302603.94</v>
      </c>
      <c r="E12" s="14" t="n">
        <v>50625.5</v>
      </c>
      <c r="F12" s="11" t="n">
        <f aca="false">E12/D12</f>
        <v>0.167299540118347</v>
      </c>
    </row>
    <row r="13" customFormat="false" ht="15" hidden="false" customHeight="false" outlineLevel="0" collapsed="false">
      <c r="B13" s="9" t="s">
        <v>41</v>
      </c>
      <c r="C13" s="10" t="n">
        <v>819</v>
      </c>
      <c r="D13" s="14" t="n">
        <v>116812.64</v>
      </c>
      <c r="E13" s="14" t="n">
        <v>19144.03</v>
      </c>
      <c r="F13" s="11" t="n">
        <f aca="false">E13/D13</f>
        <v>0.163886630761876</v>
      </c>
    </row>
    <row r="14" customFormat="false" ht="15" hidden="false" customHeight="false" outlineLevel="0" collapsed="false">
      <c r="B14" s="9" t="s">
        <v>42</v>
      </c>
      <c r="C14" s="10" t="n">
        <v>47449</v>
      </c>
      <c r="D14" s="14" t="n">
        <v>5202955.05</v>
      </c>
      <c r="E14" s="14" t="n">
        <v>718723.07</v>
      </c>
      <c r="F14" s="11" t="n">
        <f aca="false">E14/D14</f>
        <v>0.13813747439544</v>
      </c>
    </row>
    <row r="16" customFormat="false" ht="15" hidden="false" customHeight="false" outlineLevel="0" collapsed="false">
      <c r="B16" s="12" t="s">
        <v>43</v>
      </c>
    </row>
    <row r="17" customFormat="false" ht="15" hidden="false" customHeight="false" outlineLevel="0" collapsed="false">
      <c r="B17" s="12" t="s">
        <v>31</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2026-08-21T11:19:48Z</dcterms:created>
  <dc:creator>openpyxl</dc:creator>
  <dc:description/>
  <dc:language>en-US</dc:language>
  <cp:lastModifiedBy/>
  <dcterms:modified xsi:type="dcterms:W3CDTF">2026-08-21T11:19:48Z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